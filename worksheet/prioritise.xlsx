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18" customWidth="1" min="4" max="4"/>
    <col width="12" customWidth="1" min="5" max="5"/>
    <col width="16" customWidth="1" min="6" max="6"/>
    <col width="12" customWidth="1" min="7" max="7"/>
    <col width="14" customWidth="1" min="8" max="8"/>
    <col width="14" customWidth="1" min="9" max="9"/>
    <col width="50" customWidth="1" min="10" max="10"/>
  </cols>
  <sheetData>
    <row r="1">
      <c r="A1" s="1" t="inlineStr">
        <is>
          <t>Z = years until a cryptographically relevant quantum computer (assumption):</t>
        </is>
      </c>
      <c r="H1" s="1" t="n">
        <v>10</v>
      </c>
    </row>
    <row r="3">
      <c r="A3" s="2" t="inlineStr">
        <is>
          <t>id</t>
        </is>
      </c>
      <c r="B3" s="2" t="inlineStr">
        <is>
          <t>asset</t>
        </is>
      </c>
      <c r="C3" s="2" t="inlineStr">
        <is>
          <t>breaks under quantum? (Y/N)</t>
        </is>
      </c>
      <c r="D3" s="2" t="inlineStr">
        <is>
          <t>X: years data must stay secret / signature valid</t>
        </is>
      </c>
      <c r="E3" s="2" t="inlineStr">
        <is>
          <t>Y: years to migrate</t>
        </is>
      </c>
      <c r="F3" s="2" t="inlineStr">
        <is>
          <t>exposure (1 internal, 2 partner, 3 internet)</t>
        </is>
      </c>
      <c r="G3" s="2" t="inlineStr">
        <is>
          <t>Mosca ratio (X+Y)/Z</t>
        </is>
      </c>
      <c r="H3" s="2" t="inlineStr">
        <is>
          <t>priority = ratio x exposure</t>
        </is>
      </c>
      <c r="I3" s="2" t="inlineStr">
        <is>
          <t>classical fix needed now? (Y/N)</t>
        </is>
      </c>
      <c r="J3" s="2" t="inlineStr">
        <is>
          <t>notes</t>
        </is>
      </c>
    </row>
    <row r="4">
      <c r="A4" t="inlineStr">
        <is>
          <t>A01</t>
        </is>
      </c>
      <c r="B4" t="inlineStr">
        <is>
          <t>TLS 1.3 :8443 (payments API)</t>
        </is>
      </c>
      <c r="G4">
        <f>IF(UPPER(C4)="Y",(N(D4)+N(E4))/$H$1,0)</f>
        <v/>
      </c>
      <c r="H4">
        <f>G4*N(F4)</f>
        <v/>
      </c>
    </row>
    <row r="5">
      <c r="A5" t="inlineStr">
        <is>
          <t>A02</t>
        </is>
      </c>
      <c r="B5" t="inlineStr">
        <is>
          <t>ML-KEM-768 hybrid group</t>
        </is>
      </c>
      <c r="G5">
        <f>IF(UPPER(C5)="Y",(N(D5)+N(E5))/$H$1,0)</f>
        <v/>
      </c>
      <c r="H5">
        <f>G5*N(F5)</f>
        <v/>
      </c>
    </row>
    <row r="6">
      <c r="A6" t="inlineStr">
        <is>
          <t>A03</t>
        </is>
      </c>
      <c r="B6" t="inlineStr">
        <is>
          <t>TLS 1.2 :8444 with AES128-SHA</t>
        </is>
      </c>
      <c r="G6">
        <f>IF(UPPER(C6)="Y",(N(D6)+N(E6))/$H$1,0)</f>
        <v/>
      </c>
      <c r="H6">
        <f>G6*N(F6)</f>
        <v/>
      </c>
    </row>
    <row r="7">
      <c r="A7" t="inlineStr">
        <is>
          <t>A04</t>
        </is>
      </c>
      <c r="B7" t="inlineStr">
        <is>
          <t>api.banklite.local cert (ECDSA P-256)</t>
        </is>
      </c>
      <c r="G7">
        <f>IF(UPPER(C7)="Y",(N(D7)+N(E7))/$H$1,0)</f>
        <v/>
      </c>
      <c r="H7">
        <f>G7*N(F7)</f>
        <v/>
      </c>
    </row>
    <row r="8">
      <c r="A8" t="inlineStr">
        <is>
          <t>A05</t>
        </is>
      </c>
      <c r="B8" t="inlineStr">
        <is>
          <t>legacy.banklite.local cert (RSA-2048)</t>
        </is>
      </c>
      <c r="G8">
        <f>IF(UPPER(C8)="Y",(N(D8)+N(E8))/$H$1,0)</f>
        <v/>
      </c>
      <c r="H8">
        <f>G8*N(F8)</f>
        <v/>
      </c>
    </row>
    <row r="9">
      <c r="A9" t="inlineStr">
        <is>
          <t>A06</t>
        </is>
      </c>
      <c r="B9" t="inlineStr">
        <is>
          <t>keys/backup_rsa.pem</t>
        </is>
      </c>
      <c r="G9">
        <f>IF(UPPER(C9)="Y",(N(D9)+N(E9))/$H$1,0)</f>
        <v/>
      </c>
      <c r="H9">
        <f>G9*N(F9)</f>
        <v/>
      </c>
    </row>
    <row r="10">
      <c r="A10" t="inlineStr">
        <is>
          <t>A07</t>
        </is>
      </c>
      <c r="B10" t="inlineStr">
        <is>
          <t>AES-128-ECB tokenisation (card.js)</t>
        </is>
      </c>
      <c r="G10">
        <f>IF(UPPER(C10)="Y",(N(D10)+N(E10))/$H$1,0)</f>
        <v/>
      </c>
      <c r="H10">
        <f>G10*N(F10)</f>
        <v/>
      </c>
    </row>
    <row r="11">
      <c r="A11" t="inlineStr">
        <is>
          <t>A08</t>
        </is>
      </c>
      <c r="B11" t="inlineStr">
        <is>
          <t>SHA-1 receipt IDs</t>
        </is>
      </c>
      <c r="G11">
        <f>IF(UPPER(C11)="Y",(N(D11)+N(E11))/$H$1,0)</f>
        <v/>
      </c>
      <c r="H11">
        <f>G11*N(F11)</f>
        <v/>
      </c>
    </row>
    <row r="12">
      <c r="A12" t="inlineStr">
        <is>
          <t>A09</t>
        </is>
      </c>
      <c r="B12" t="inlineStr">
        <is>
          <t>HMAC-SHA256 webhooks</t>
        </is>
      </c>
      <c r="G12">
        <f>IF(UPPER(C12)="Y",(N(D12)+N(E12))/$H$1,0)</f>
        <v/>
      </c>
      <c r="H12">
        <f>G12*N(F12)</f>
        <v/>
      </c>
    </row>
    <row r="13">
      <c r="A13" t="inlineStr">
        <is>
          <t>A10</t>
        </is>
      </c>
      <c r="B13" t="inlineStr">
        <is>
          <t>settlement.p12 (RSA-2048 signing key)</t>
        </is>
      </c>
      <c r="G13">
        <f>IF(UPPER(C13)="Y",(N(D13)+N(E13))/$H$1,0)</f>
        <v/>
      </c>
      <c r="H13">
        <f>G13*N(F13)</f>
        <v/>
      </c>
    </row>
    <row r="14">
      <c r="A14" t="inlineStr">
        <is>
          <t>A11</t>
        </is>
      </c>
      <c r="B14" t="inlineStr">
        <is>
          <t>SHA256withRSA settlement signing (Java)</t>
        </is>
      </c>
      <c r="G14">
        <f>IF(UPPER(C14)="Y",(N(D14)+N(E14))/$H$1,0)</f>
        <v/>
      </c>
      <c r="H14">
        <f>G14*N(F14)</f>
        <v/>
      </c>
    </row>
    <row r="15">
      <c r="A15" t="inlineStr">
        <is>
          <t>A12</t>
        </is>
      </c>
      <c r="B15" t="inlineStr">
        <is>
          <t>openssl.cnf policy (SECLEVEL=1)</t>
        </is>
      </c>
      <c r="G15">
        <f>IF(UPPER(C15)="Y",(N(D15)+N(E15))/$H$1,0)</f>
        <v/>
      </c>
      <c r="H15">
        <f>G15*N(F15)</f>
        <v/>
      </c>
    </row>
    <row r="16">
      <c r="A16" t="inlineStr">
        <is>
          <t>A13</t>
        </is>
      </c>
      <c r="B16" t="inlineStr">
        <is>
          <t>AES-256-CBC vault (vault.js)</t>
        </is>
      </c>
      <c r="G16">
        <f>IF(UPPER(C16)="Y",(N(D16)+N(E16))/$H$1,0)</f>
        <v/>
      </c>
      <c r="H16">
        <f>G16*N(F16)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2026-10-12T04:04:29Z</dcterms:created>
  <dcterms:modified xmlns:dcterms="http://purl.org/dc/terms/" xmlns:xsi="http://www.w3.org/2001/XMLSchema-instance" xsi:type="dcterms:W3CDTF">2026-10-12T04:04:29Z</dcterms:modified>
</cp:coreProperties>
</file>